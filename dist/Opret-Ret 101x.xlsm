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5xu\Source\Projects\LS_Script\"/>
    </mc:Choice>
  </mc:AlternateContent>
  <xr:revisionPtr revIDLastSave="0" documentId="13_ncr:1_{54733934-093D-4384-99BC-BE3C93C2F2B5}" xr6:coauthVersionLast="47" xr6:coauthVersionMax="47" xr10:uidLastSave="{00000000-0000-0000-0000-000000000000}"/>
  <bookViews>
    <workbookView xWindow="2240" yWindow="2240" windowWidth="21600" windowHeight="9270" xr2:uid="{00000000-000D-0000-FFFF-FFFF00000000}"/>
  </bookViews>
  <sheets>
    <sheet name="Batch" sheetId="1" r:id="rId1"/>
    <sheet name="Felter" sheetId="3" r:id="rId2"/>
    <sheet name="Parameter" sheetId="4" r:id="rId3"/>
    <sheet name="Lønsystem Log" sheetId="5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4" i="1" l="1"/>
  <c r="C11" i="3" a="1"/>
  <c r="C5" i="3" a="1"/>
  <c r="C14" i="3" a="1"/>
  <c r="C9" i="3" a="1"/>
  <c r="C8" i="3" a="1"/>
  <c r="C15" i="3" a="1"/>
  <c r="C7" i="3" a="1"/>
  <c r="C10" i="3" a="1"/>
  <c r="C2" i="3" a="1"/>
  <c r="C6" i="3" a="1"/>
  <c r="C12" i="3" a="1"/>
  <c r="C4" i="3" a="1"/>
  <c r="C13" i="3" a="1"/>
  <c r="C3" i="3" a="1"/>
  <c r="C10" i="3" l="1"/>
  <c r="C9" i="3"/>
  <c r="C2" i="3"/>
  <c r="C12" i="3"/>
  <c r="C4" i="3"/>
  <c r="C6" i="3"/>
  <c r="C5" i="3"/>
  <c r="C8" i="3"/>
  <c r="C14" i="3"/>
  <c r="C13" i="3"/>
  <c r="C15" i="3"/>
  <c r="C11" i="3"/>
  <c r="C7" i="3"/>
  <c r="C3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<sst xmlns="http://schemas.openxmlformats.org/spreadsheetml/2006/main" count="183" uniqueCount="128">
  <si>
    <t>TJNR</t>
  </si>
  <si>
    <t>DATO</t>
  </si>
  <si>
    <t>Tid</t>
  </si>
  <si>
    <t>FC</t>
  </si>
  <si>
    <t>Inst</t>
  </si>
  <si>
    <t>CPR</t>
  </si>
  <si>
    <t>Opret status</t>
  </si>
  <si>
    <t>Script Status</t>
  </si>
  <si>
    <t>Statuskode</t>
  </si>
  <si>
    <t>Stil</t>
  </si>
  <si>
    <t>Stilling</t>
  </si>
  <si>
    <t>Besk.dec</t>
  </si>
  <si>
    <t>Løn.dec</t>
  </si>
  <si>
    <t>AFDKEY</t>
  </si>
  <si>
    <t xml:space="preserve">Aflønningsform </t>
  </si>
  <si>
    <t>Kolonne</t>
  </si>
  <si>
    <t>Navn</t>
  </si>
  <si>
    <t>G</t>
  </si>
  <si>
    <t>H</t>
  </si>
  <si>
    <t>I</t>
  </si>
  <si>
    <t>J</t>
  </si>
  <si>
    <t>K</t>
  </si>
  <si>
    <t>L</t>
  </si>
  <si>
    <t>M</t>
  </si>
  <si>
    <t>O</t>
  </si>
  <si>
    <t>P</t>
  </si>
  <si>
    <t>Side</t>
  </si>
  <si>
    <t>Længde</t>
  </si>
  <si>
    <t>Data værdier</t>
  </si>
  <si>
    <t>Tekst</t>
  </si>
  <si>
    <t>Værdiliste</t>
  </si>
  <si>
    <t>1;3;7;8;9</t>
  </si>
  <si>
    <t>0;1</t>
  </si>
  <si>
    <t>Tal</t>
  </si>
  <si>
    <t>Decimal</t>
  </si>
  <si>
    <t>DatoMin</t>
  </si>
  <si>
    <t>DatoMax</t>
  </si>
  <si>
    <t>Parameter</t>
  </si>
  <si>
    <t>CheckNavn</t>
  </si>
  <si>
    <t>Værdi</t>
  </si>
  <si>
    <t>Ekstern Inst/TJNR</t>
  </si>
  <si>
    <t>Handling</t>
  </si>
  <si>
    <t>Ret</t>
  </si>
  <si>
    <t>Forklaring</t>
  </si>
  <si>
    <t>SuccessLsCode</t>
  </si>
  <si>
    <t>WarningLsCode</t>
  </si>
  <si>
    <t>ErrorLsCode</t>
  </si>
  <si>
    <t>Template for Opdateringskoder, der skal give en adviser i script status</t>
  </si>
  <si>
    <t>BatchRække</t>
  </si>
  <si>
    <t>Dato</t>
  </si>
  <si>
    <t>BatchKolonne</t>
  </si>
  <si>
    <t>Feltnavn</t>
  </si>
  <si>
    <t>Værdi før</t>
  </si>
  <si>
    <t>Værdi sendt</t>
  </si>
  <si>
    <t>Værdi efter</t>
  </si>
  <si>
    <t>Returkode</t>
  </si>
  <si>
    <t>Returtekst</t>
  </si>
  <si>
    <t>Resultat</t>
  </si>
  <si>
    <t>ScriptStatus</t>
  </si>
  <si>
    <t>InforceExternalID</t>
  </si>
  <si>
    <t>Tjek Disponibelt felt, svarer til værdi angivet i Ekstern Inst/TJNR</t>
  </si>
  <si>
    <t>Mindste tilladte dato for ændring/oprettelse</t>
  </si>
  <si>
    <t>Maksibalt tilladte dato for ændring/oprettelse</t>
  </si>
  <si>
    <t>Tj.kode</t>
  </si>
  <si>
    <t>CreateKey</t>
  </si>
  <si>
    <t>7*</t>
  </si>
  <si>
    <t>Nøgle der bruges til oprettelse af personer</t>
  </si>
  <si>
    <t>OPD04-F;OPD06-F</t>
  </si>
  <si>
    <t>OPD04-F: Ændringsdato må ikke være tidligere end startdato
OPD06-F: Felt skal udfyldes/er udfyldt forkert</t>
  </si>
  <si>
    <t>2027-01-01</t>
  </si>
  <si>
    <t>2045-01-01</t>
  </si>
  <si>
    <t>ValueOnCreateOvk</t>
  </si>
  <si>
    <t>Default værdi for OVK ved oprettelse</t>
  </si>
  <si>
    <t>Default værdi for LK ved oprettelse</t>
  </si>
  <si>
    <t>0001</t>
  </si>
  <si>
    <t>888</t>
  </si>
  <si>
    <t>38888</t>
  </si>
  <si>
    <t>Default værdi for Stillingskode ved oprettelse</t>
  </si>
  <si>
    <t>Default værdi for Stillingsbetegnelse ved oprettelse</t>
  </si>
  <si>
    <t>Script oprettet</t>
  </si>
  <si>
    <t>ValueOnCreateAFD</t>
  </si>
  <si>
    <t>Default værdi for De-kode ved oprettelse</t>
  </si>
  <si>
    <t>ValueOnCreateLk</t>
  </si>
  <si>
    <t>ValueOnCreateStill</t>
  </si>
  <si>
    <t>ValueOnCreateStilling</t>
  </si>
  <si>
    <t>ValueOnCreateDtKode</t>
  </si>
  <si>
    <t>SetRegnrOnCreate</t>
  </si>
  <si>
    <t>TRUE</t>
  </si>
  <si>
    <t>Sæt Regnr som del af oprettelse (kræves for test med ikke valide CPR-nummere)</t>
  </si>
  <si>
    <t>SuccessLsCreateCode</t>
  </si>
  <si>
    <t>WarningLsCreateCode</t>
  </si>
  <si>
    <t>Template for Opdateringskoder, der skal give en adviser i script status ved oprettelse</t>
  </si>
  <si>
    <t>01</t>
  </si>
  <si>
    <t>N</t>
  </si>
  <si>
    <t>Anciennitetsdato</t>
  </si>
  <si>
    <t>Jubilæumsdato</t>
  </si>
  <si>
    <t>Q</t>
  </si>
  <si>
    <t>R</t>
  </si>
  <si>
    <t>S</t>
  </si>
  <si>
    <t>T</t>
  </si>
  <si>
    <t>Dt.kode</t>
  </si>
  <si>
    <t>1</t>
  </si>
  <si>
    <t>0</t>
  </si>
  <si>
    <t>OPD08-K;OPD80-K;OPD57-K</t>
  </si>
  <si>
    <t>OPD08-K: Personen er opdateret - se fremhævede felter
OPD80-K: Opdatering OK. Der konteres på fejlkonto
OPD57-K: Område er opdateret</t>
  </si>
  <si>
    <t>Ovk</t>
  </si>
  <si>
    <t>Lønklasse</t>
  </si>
  <si>
    <t>Løntrin</t>
  </si>
  <si>
    <t>Gruppe</t>
  </si>
  <si>
    <t>Ovk/Lk/Lt</t>
  </si>
  <si>
    <t>Data type</t>
  </si>
  <si>
    <t>Formular</t>
  </si>
  <si>
    <t>Række</t>
  </si>
  <si>
    <t>ZVI0</t>
  </si>
  <si>
    <t>01.07.2026</t>
  </si>
  <si>
    <t>33321</t>
  </si>
  <si>
    <t>200</t>
  </si>
  <si>
    <t>QROB</t>
  </si>
  <si>
    <t>OBS</t>
  </si>
  <si>
    <t>Ret til valid færdi for valgt Inst.kode</t>
  </si>
  <si>
    <t>OPD02-K;OPD79-K</t>
  </si>
  <si>
    <t>OPD02-K: Nyoprettelse - se fremhævede felter og CPR-nummer
OPD79-K: Oprettelse OK. Der konteres på fejlkonto</t>
  </si>
  <si>
    <t>SFC99999</t>
  </si>
  <si>
    <t>0101010000</t>
  </si>
  <si>
    <t>Test</t>
  </si>
  <si>
    <t>HVIS(P[ROW]&lt;1;1;0)</t>
  </si>
  <si>
    <t>Oprettet og Opdateret: 70000</t>
  </si>
  <si>
    <t>Opret og Ret billed 101 (v.1.0.1)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</si>
</sst>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sz val="10"/>
      <color theme="1"/>
      <name val="Arial Unicode MS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0" xfId="0" applyFont="1"/>
    <xf numFmtId="0" fontId="0" fillId="2" borderId="1" xfId="0" applyFill="1" applyBorder="1"/>
    <xf numFmtId="49" fontId="0" fillId="0" borderId="0" xfId="0" applyNumberFormat="1"/>
    <xf numFmtId="0" fontId="0" fillId="2" borderId="0" xfId="0" applyFill="1"/>
    <xf numFmtId="0" fontId="0" fillId="2" borderId="2" xfId="0" applyFill="1" applyBorder="1" applyAlignment="1">
      <alignment horizontal="right" indent="1"/>
    </xf>
    <xf numFmtId="0" fontId="1" fillId="2" borderId="1" xfId="0" applyFont="1" applyFill="1" applyBorder="1"/>
    <xf numFmtId="0" fontId="0" fillId="2" borderId="0" xfId="0" applyFill="1" applyAlignment="1">
      <alignment horizontal="left" vertical="top"/>
    </xf>
    <xf numFmtId="0" fontId="1" fillId="2" borderId="0" xfId="0" applyFont="1" applyFill="1" applyAlignment="1">
      <alignment horizontal="left" vertical="top"/>
    </xf>
    <xf numFmtId="49" fontId="0" fillId="2" borderId="0" xfId="0" applyNumberFormat="1" applyFill="1" applyAlignment="1">
      <alignment horizontal="left" vertical="top"/>
    </xf>
    <xf numFmtId="49" fontId="1" fillId="2" borderId="1" xfId="0" applyNumberFormat="1" applyFont="1" applyFill="1" applyBorder="1"/>
    <xf numFmtId="49" fontId="0" fillId="2" borderId="2" xfId="0" applyNumberFormat="1" applyFill="1" applyBorder="1" applyAlignment="1">
      <alignment horizontal="center" vertical="center"/>
    </xf>
    <xf numFmtId="14" fontId="0" fillId="0" borderId="0" xfId="0" applyNumberFormat="1" applyFill="1"/>
    <xf numFmtId="0" fontId="0" fillId="0" borderId="0" xfId="0" applyAlignment="1">
      <alignment wrapText="1"/>
    </xf>
    <xf numFmtId="0" fontId="4" fillId="0" borderId="0" xfId="0" applyFont="1"/>
    <xf numFmtId="0" fontId="5" fillId="0" borderId="0" xfId="0" applyFont="1"/>
    <xf numFmtId="49" fontId="0" fillId="2" borderId="0" xfId="0" applyNumberFormat="1" applyFill="1"/>
    <xf numFmtId="49" fontId="1" fillId="0" borderId="0" xfId="0" applyNumberFormat="1" applyFont="1"/>
    <xf numFmtId="0" fontId="6" fillId="0" borderId="0" xfId="0" applyFont="1"/>
    <xf numFmtId="0" fontId="4" fillId="2" borderId="0" xfId="0" applyNumberFormat="1" applyFont="1" applyFill="1"/>
    <xf numFmtId="49" fontId="7" fillId="0" borderId="0" xfId="0" applyNumberFormat="1" applyFont="1"/>
    <xf numFmtId="49" fontId="0" fillId="0" borderId="0" xfId="0" applyNumberFormat="1" applyFill="1"/>
    <xf numFmtId="0" fontId="0" fillId="0" borderId="0" xfId="0" applyNumberFormat="1" applyFill="1"/>
    <xf numFmtId="0" fontId="0" fillId="0" borderId="0" xfId="0" applyFill="1"/>
    <xf numFmtId="22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222250</xdr:colOff>
          <xdr:row>0</xdr:row>
          <xdr:rowOff>260350</xdr:rowOff>
        </xdr:from>
        <xdr:to>
          <xdr:col>3</xdr:col>
          <xdr:colOff>38100</xdr:colOff>
          <xdr:row>2</xdr:row>
          <xdr:rowOff>31750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120650</xdr:colOff>
          <xdr:row>0</xdr:row>
          <xdr:rowOff>260350</xdr:rowOff>
        </xdr:from>
        <xdr:to>
          <xdr:col>4</xdr:col>
          <xdr:colOff>406400</xdr:colOff>
          <xdr:row>2</xdr:row>
          <xdr:rowOff>31750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Opret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482600</xdr:colOff>
          <xdr:row>0</xdr:row>
          <xdr:rowOff>260350</xdr:rowOff>
        </xdr:from>
        <xdr:to>
          <xdr:col>5</xdr:col>
          <xdr:colOff>279400</xdr:colOff>
          <xdr:row>2</xdr:row>
          <xdr:rowOff>31750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Opdater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361950</xdr:colOff>
          <xdr:row>0</xdr:row>
          <xdr:rowOff>260350</xdr:rowOff>
        </xdr:from>
        <xdr:to>
          <xdr:col>5</xdr:col>
          <xdr:colOff>1498600</xdr:colOff>
          <xdr:row>2</xdr:row>
          <xdr:rowOff>31750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Version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/>
  <dimension ref="A1:T4"/>
  <sheetViews>
    <sheetView tabSelected="1" workbookViewId="0">
      <selection activeCell="A4" sqref="A4"/>
    </sheetView>
  </sheetViews>
  <sheetFormatPr defaultRowHeight="14.5"/>
  <cols>
    <col min="1" max="1" width="29.7265625" bestFit="1" customWidth="1"/>
    <col min="2" max="2" width="16.453125" style="3" customWidth="1"/>
    <col min="3" max="3" width="18.81640625" style="3" customWidth="1"/>
    <col min="4" max="4" width="11.26953125" style="3" customWidth="1"/>
    <col min="5" max="5" width="19.1796875" customWidth="1"/>
    <col min="6" max="6" width="27" style="3" customWidth="1"/>
    <col min="7" max="7" width="12.1796875" style="3" customWidth="1"/>
    <col min="8" max="8" width="13" style="3" customWidth="1"/>
    <col min="9" max="9" width="19.453125" style="3" customWidth="1"/>
    <col min="10" max="10" width="19.7265625" customWidth="1"/>
    <col min="11" max="12" width="14.54296875" style="3" customWidth="1"/>
    <col min="13" max="14" width="12.1796875" style="3" customWidth="1"/>
    <col min="15" max="15" width="19.7265625" style="3" customWidth="1"/>
    <col min="16" max="18" width="14.81640625" style="3" customWidth="1"/>
    <col min="20" max="20" width="13.6328125" bestFit="1" customWidth="1"/>
  </cols>
  <sheetData>
    <row r="1" spans="1:20" s="7" customFormat="1" ht="25.5" customHeight="1">
      <c r="A1" s="8" t="s">
        <v>127</v>
      </c>
      <c r="B1" s="9"/>
      <c r="D1" s="9"/>
      <c r="G1" s="9"/>
      <c r="H1" s="9"/>
      <c r="I1" s="9"/>
      <c r="K1" s="9"/>
      <c r="L1" s="9"/>
      <c r="M1" s="9"/>
      <c r="N1" s="9"/>
      <c r="O1" s="9"/>
      <c r="P1" s="9"/>
      <c r="Q1" s="9"/>
      <c r="R1" s="9"/>
    </row>
    <row r="2" spans="1:20" s="4" customFormat="1">
      <c r="A2" s="5" t="s">
        <v>4</v>
      </c>
      <c r="B2" s="11" t="s">
        <v>3</v>
      </c>
      <c r="D2" s="9"/>
      <c r="G2" s="19"/>
      <c r="H2" s="16"/>
      <c r="I2" s="16"/>
      <c r="K2" s="16"/>
      <c r="L2" s="16"/>
      <c r="M2" s="16"/>
      <c r="N2" s="16"/>
      <c r="O2" s="16"/>
      <c r="P2" s="16"/>
      <c r="Q2" s="16"/>
      <c r="R2" s="16"/>
    </row>
    <row r="3" spans="1:20" s="2" customFormat="1" ht="26.25" customHeight="1">
      <c r="A3" s="6" t="s">
        <v>7</v>
      </c>
      <c r="B3" s="10" t="s">
        <v>0</v>
      </c>
      <c r="C3" s="6" t="s">
        <v>5</v>
      </c>
      <c r="D3" s="6" t="s">
        <v>1</v>
      </c>
      <c r="E3" s="6" t="s">
        <v>40</v>
      </c>
      <c r="F3" s="10" t="s">
        <v>6</v>
      </c>
      <c r="G3" s="10" t="s">
        <v>13</v>
      </c>
      <c r="H3" s="10" t="s">
        <v>8</v>
      </c>
      <c r="I3" s="10" t="s">
        <v>14</v>
      </c>
      <c r="J3" s="10" t="s">
        <v>94</v>
      </c>
      <c r="K3" s="10" t="s">
        <v>105</v>
      </c>
      <c r="L3" s="10" t="s">
        <v>106</v>
      </c>
      <c r="M3" s="10" t="s">
        <v>107</v>
      </c>
      <c r="N3" s="10" t="s">
        <v>9</v>
      </c>
      <c r="O3" s="10" t="s">
        <v>10</v>
      </c>
      <c r="P3" s="10" t="s">
        <v>12</v>
      </c>
      <c r="Q3" s="10" t="s">
        <v>100</v>
      </c>
      <c r="R3" s="10" t="s">
        <v>11</v>
      </c>
      <c r="S3" s="10" t="s">
        <v>63</v>
      </c>
      <c r="T3" s="10" t="s">
        <v>95</v>
      </c>
    </row>
    <row r="4" spans="1:20">
      <c r="B4" s="20"/>
      <c r="C4" s="3" t="s">
        <v>123</v>
      </c>
      <c r="D4" s="12">
        <v>46388</v>
      </c>
      <c r="E4" s="23" t="s">
        <v>122</v>
      </c>
      <c r="F4" s="3" t="s">
        <v>126</v>
      </c>
      <c r="G4" s="21" t="s">
        <v>113</v>
      </c>
      <c r="H4" s="21" t="s">
        <v>101</v>
      </c>
      <c r="I4" s="21" t="s">
        <v>102</v>
      </c>
      <c r="J4" s="23" t="s">
        <v>114</v>
      </c>
      <c r="K4" s="21" t="s">
        <v>115</v>
      </c>
      <c r="L4" s="21" t="s">
        <v>116</v>
      </c>
      <c r="M4" s="21" t="s">
        <v>92</v>
      </c>
      <c r="N4" s="21" t="s">
        <v>74</v>
      </c>
      <c r="O4" s="21" t="s">
        <v>124</v>
      </c>
      <c r="P4" s="22">
        <v>1</v>
      </c>
      <c r="Q4" s="21">
        <f>IF(P4&lt;1,1,0)</f>
        <v>0</v>
      </c>
      <c r="R4" s="22">
        <v>1</v>
      </c>
      <c r="S4" s="23" t="s">
        <v>99</v>
      </c>
      <c r="T4" s="23" t="s">
        <v>114</v>
      </c>
    </row>
  </sheetData>
  <sortState xmlns:xlrd2="http://schemas.microsoft.com/office/spreadsheetml/2017/richdata2" ref="A4:U4">
    <sortCondition ref="C4"/>
    <sortCondition ref="U4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criptStart">
                <anchor>
                  <from>
                    <xdr:col>2</xdr:col>
                    <xdr:colOff>222250</xdr:colOff>
                    <xdr:row>0</xdr:row>
                    <xdr:rowOff>260350</xdr:rowOff>
                  </from>
                  <to>
                    <xdr:col>3</xdr:col>
                    <xdr:colOff>38100</xdr:colOff>
                    <xdr:row>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criptStart">
                <anchor>
                  <from>
                    <xdr:col>3</xdr:col>
                    <xdr:colOff>120650</xdr:colOff>
                    <xdr:row>0</xdr:row>
                    <xdr:rowOff>260350</xdr:rowOff>
                  </from>
                  <to>
                    <xdr:col>4</xdr:col>
                    <xdr:colOff>406400</xdr:colOff>
                    <xdr:row>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criptStart">
                <anchor>
                  <from>
                    <xdr:col>4</xdr:col>
                    <xdr:colOff>482600</xdr:colOff>
                    <xdr:row>0</xdr:row>
                    <xdr:rowOff>260350</xdr:rowOff>
                  </from>
                  <to>
                    <xdr:col>5</xdr:col>
                    <xdr:colOff>279400</xdr:colOff>
                    <xdr:row>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TjekForNyVersion">
                <anchor>
                  <from>
                    <xdr:col>5</xdr:col>
                    <xdr:colOff>361950</xdr:colOff>
                    <xdr:row>0</xdr:row>
                    <xdr:rowOff>260350</xdr:rowOff>
                  </from>
                  <to>
                    <xdr:col>5</xdr:col>
                    <xdr:colOff>1498600</xdr:colOff>
                    <xdr:row>2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A338A-3E62-496C-B334-CDAB8E3D1A95}">
  <sheetPr codeName="Ark3"/>
  <dimension ref="A1:K15"/>
  <sheetViews>
    <sheetView workbookViewId="0">
      <selection activeCell="A2" sqref="A2"/>
    </sheetView>
  </sheetViews>
  <sheetFormatPr defaultRowHeight="14.5"/>
  <cols>
    <col min="1" max="1" width="8.453125" bestFit="1" customWidth="1"/>
    <col min="2" max="2" width="22.08984375" customWidth="1"/>
    <col min="3" max="3" width="21.1796875" customWidth="1"/>
    <col min="4" max="4" width="7.7265625" customWidth="1"/>
    <col min="5" max="7" width="17" customWidth="1"/>
    <col min="8" max="8" width="16.1796875" customWidth="1"/>
    <col min="9" max="9" width="20.54296875" customWidth="1"/>
    <col min="10" max="10" width="12.453125" customWidth="1"/>
    <col min="11" max="11" width="16" customWidth="1"/>
  </cols>
  <sheetData>
    <row r="1" spans="1:11">
      <c r="A1" s="1" t="s">
        <v>15</v>
      </c>
      <c r="B1" s="1" t="s">
        <v>16</v>
      </c>
      <c r="C1" s="1" t="s">
        <v>38</v>
      </c>
      <c r="D1" s="1" t="s">
        <v>26</v>
      </c>
      <c r="E1" s="1" t="s">
        <v>112</v>
      </c>
      <c r="F1" s="1" t="s">
        <v>15</v>
      </c>
      <c r="G1" s="1" t="s">
        <v>27</v>
      </c>
      <c r="H1" s="1" t="s">
        <v>110</v>
      </c>
      <c r="I1" s="1" t="s">
        <v>28</v>
      </c>
      <c r="J1" s="1" t="s">
        <v>108</v>
      </c>
      <c r="K1" s="1" t="s">
        <v>41</v>
      </c>
    </row>
    <row r="2" spans="1:11">
      <c r="A2" t="s">
        <v>17</v>
      </c>
      <c r="B2" t="s">
        <v>13</v>
      </c>
      <c r="C2" t="str" cm="1">
        <f t="array" aca="1" ref="C2" ca="1">IF(OR(H2="Beregnet_DtKode"),"Beregnet",IF(K2&lt;&gt;"Inaktiv",IF(INDIRECT("'Batch'!"&amp;A2&amp;"3")=B2,"OK","Fejl i kolonne navn"),"Inaktiv"))</f>
        <v>OK</v>
      </c>
      <c r="D2">
        <v>1</v>
      </c>
      <c r="E2">
        <v>13</v>
      </c>
      <c r="F2">
        <v>21</v>
      </c>
      <c r="G2">
        <v>4</v>
      </c>
      <c r="H2" t="s">
        <v>29</v>
      </c>
      <c r="K2" t="s">
        <v>42</v>
      </c>
    </row>
    <row r="3" spans="1:11">
      <c r="A3" t="s">
        <v>18</v>
      </c>
      <c r="B3" t="s">
        <v>8</v>
      </c>
      <c r="C3" t="str" cm="1">
        <f t="array" aca="1" ref="C3" ca="1">IF(OR(H3="Beregnet_DtKode"),"Beregnet",IF(K3&lt;&gt;"Inaktiv",IF(INDIRECT("'Batch'!"&amp;A3&amp;"3")=B3,"OK","Fejl i kolonne navn"),"Inaktiv"))</f>
        <v>OK</v>
      </c>
      <c r="D3">
        <v>1</v>
      </c>
      <c r="E3">
        <v>17</v>
      </c>
      <c r="F3">
        <v>21</v>
      </c>
      <c r="G3">
        <v>1</v>
      </c>
      <c r="H3" t="s">
        <v>30</v>
      </c>
      <c r="I3" t="s">
        <v>31</v>
      </c>
      <c r="K3" t="s">
        <v>42</v>
      </c>
    </row>
    <row r="4" spans="1:11">
      <c r="A4" t="s">
        <v>19</v>
      </c>
      <c r="B4" t="s">
        <v>14</v>
      </c>
      <c r="C4" t="str" cm="1">
        <f t="array" aca="1" ref="C4" ca="1">IF(OR(H4="Beregnet_DtKode"),"Beregnet",IF(K4&lt;&gt;"Inaktiv",IF(INDIRECT("'Batch'!"&amp;A4&amp;"3")=B4,"OK","Fejl i kolonne navn"),"Inaktiv"))</f>
        <v>OK</v>
      </c>
      <c r="D4">
        <v>1</v>
      </c>
      <c r="E4">
        <v>11</v>
      </c>
      <c r="F4">
        <v>21</v>
      </c>
      <c r="G4">
        <v>1</v>
      </c>
      <c r="H4" t="s">
        <v>30</v>
      </c>
      <c r="I4" t="s">
        <v>32</v>
      </c>
      <c r="K4" t="s">
        <v>42</v>
      </c>
    </row>
    <row r="5" spans="1:11">
      <c r="A5" t="s">
        <v>20</v>
      </c>
      <c r="B5" t="s">
        <v>94</v>
      </c>
      <c r="C5" t="str" cm="1">
        <f t="array" aca="1" ref="C5" ca="1">IF(OR(H5="Beregnet_DtKode"),"Beregnet",IF(K5&lt;&gt;"Inaktiv",IF(INDIRECT("'Batch'!"&amp;A5&amp;"3")=B5,"OK","Fejl i kolonne navn"),"Inaktiv"))</f>
        <v>OK</v>
      </c>
      <c r="D5">
        <v>1</v>
      </c>
      <c r="E5">
        <v>12</v>
      </c>
      <c r="F5">
        <v>21</v>
      </c>
      <c r="G5">
        <v>10</v>
      </c>
      <c r="H5" t="s">
        <v>29</v>
      </c>
      <c r="K5" t="s">
        <v>42</v>
      </c>
    </row>
    <row r="6" spans="1:11">
      <c r="A6" t="s">
        <v>21</v>
      </c>
      <c r="B6" t="s">
        <v>105</v>
      </c>
      <c r="C6" t="str" cm="1">
        <f t="array" aca="1" ref="C6" ca="1">IF(OR(H6="Beregnet_DtKode"),"Beregnet",IF(K6&lt;&gt;"Inaktiv",IF(INDIRECT("'Batch'!"&amp;A6&amp;"3")=B6,"OK","Fejl i kolonne navn"),"Inaktiv"))</f>
        <v>OK</v>
      </c>
      <c r="D6">
        <v>1</v>
      </c>
      <c r="E6">
        <v>11</v>
      </c>
      <c r="F6">
        <v>60</v>
      </c>
      <c r="G6">
        <v>5</v>
      </c>
      <c r="H6" t="s">
        <v>33</v>
      </c>
      <c r="J6" t="s">
        <v>109</v>
      </c>
      <c r="K6" t="s">
        <v>42</v>
      </c>
    </row>
    <row r="7" spans="1:11">
      <c r="A7" t="s">
        <v>22</v>
      </c>
      <c r="B7" t="s">
        <v>106</v>
      </c>
      <c r="C7" t="str" cm="1">
        <f t="array" aca="1" ref="C7" ca="1">IF(OR(H7="Beregnet_DtKode"),"Beregnet",IF(K7&lt;&gt;"Inaktiv",IF(INDIRECT("'Batch'!"&amp;A7&amp;"3")=B7,"OK","Fejl i kolonne navn"),"Inaktiv"))</f>
        <v>OK</v>
      </c>
      <c r="D7">
        <v>1</v>
      </c>
      <c r="E7">
        <v>11</v>
      </c>
      <c r="F7">
        <v>66</v>
      </c>
      <c r="G7">
        <v>3</v>
      </c>
      <c r="H7" t="s">
        <v>33</v>
      </c>
      <c r="J7" t="s">
        <v>109</v>
      </c>
      <c r="K7" t="s">
        <v>42</v>
      </c>
    </row>
    <row r="8" spans="1:11">
      <c r="A8" t="s">
        <v>23</v>
      </c>
      <c r="B8" t="s">
        <v>107</v>
      </c>
      <c r="C8" t="str" cm="1">
        <f t="array" aca="1" ref="C8" ca="1">IF(OR(H8="Beregnet_DtKode"),"Beregnet",IF(K8&lt;&gt;"Inaktiv",IF(INDIRECT("'Batch'!"&amp;A8&amp;"3")=B8,"OK","Fejl i kolonne navn"),"Inaktiv"))</f>
        <v>OK</v>
      </c>
      <c r="D8">
        <v>1</v>
      </c>
      <c r="E8">
        <v>11</v>
      </c>
      <c r="F8">
        <v>70</v>
      </c>
      <c r="G8">
        <v>2</v>
      </c>
      <c r="H8" t="s">
        <v>33</v>
      </c>
      <c r="J8" t="s">
        <v>109</v>
      </c>
      <c r="K8" t="s">
        <v>42</v>
      </c>
    </row>
    <row r="9" spans="1:11">
      <c r="A9" t="s">
        <v>93</v>
      </c>
      <c r="B9" t="s">
        <v>9</v>
      </c>
      <c r="C9" t="str" cm="1">
        <f t="array" aca="1" ref="C9" ca="1">IF(OR(H9="Beregnet_DtKode"),"Beregnet",IF(K9&lt;&gt;"Inaktiv",IF(INDIRECT("'Batch'!"&amp;A9&amp;"3")=B9,"OK","Fejl i kolonne navn"),"Inaktiv"))</f>
        <v>OK</v>
      </c>
      <c r="D9">
        <v>1</v>
      </c>
      <c r="E9">
        <v>14</v>
      </c>
      <c r="F9">
        <v>21</v>
      </c>
      <c r="G9">
        <v>4</v>
      </c>
      <c r="H9" t="s">
        <v>33</v>
      </c>
      <c r="K9" t="s">
        <v>42</v>
      </c>
    </row>
    <row r="10" spans="1:11">
      <c r="A10" t="s">
        <v>24</v>
      </c>
      <c r="B10" t="s">
        <v>10</v>
      </c>
      <c r="C10" t="str" cm="1">
        <f t="array" aca="1" ref="C10" ca="1">IF(OR(H10="Beregnet_DtKode"),"Beregnet",IF(K10&lt;&gt;"Inaktiv",IF(INDIRECT("'Batch'!"&amp;A10&amp;"3")=B10,"OK","Fejl i kolonne navn"),"Inaktiv"))</f>
        <v>OK</v>
      </c>
      <c r="D10">
        <v>1</v>
      </c>
      <c r="E10">
        <v>3</v>
      </c>
      <c r="F10">
        <v>51</v>
      </c>
      <c r="G10">
        <v>22</v>
      </c>
      <c r="H10" t="s">
        <v>29</v>
      </c>
      <c r="K10" t="s">
        <v>42</v>
      </c>
    </row>
    <row r="11" spans="1:11">
      <c r="A11" t="s">
        <v>25</v>
      </c>
      <c r="B11" t="s">
        <v>12</v>
      </c>
      <c r="C11" t="str" cm="1">
        <f t="array" aca="1" ref="C11" ca="1">IF(OR(H11="Beregnet_DtKode"),"Beregnet",IF(K11&lt;&gt;"Inaktiv",IF(INDIRECT("'Batch'!"&amp;A11&amp;"3")=B11,"OK","Fejl i kolonne navn"),"Inaktiv"))</f>
        <v>OK</v>
      </c>
      <c r="D11">
        <v>1</v>
      </c>
      <c r="E11">
        <v>15</v>
      </c>
      <c r="F11">
        <v>60</v>
      </c>
      <c r="G11">
        <v>6</v>
      </c>
      <c r="H11" t="s">
        <v>34</v>
      </c>
      <c r="J11" t="s">
        <v>12</v>
      </c>
      <c r="K11" t="s">
        <v>42</v>
      </c>
    </row>
    <row r="12" spans="1:11">
      <c r="A12" t="s">
        <v>96</v>
      </c>
      <c r="B12" t="s">
        <v>100</v>
      </c>
      <c r="C12" t="str" cm="1">
        <f t="array" aca="1" ref="C12" ca="1">IF(OR(H12="Beregnet_DtKode"),"Beregnet",IF(K12&lt;&gt;"Inaktiv",IF(INDIRECT("'Batch'!"&amp;A12&amp;"3")=B12,"OK","Fejl i kolonne navn"),"Inaktiv"))</f>
        <v>OK</v>
      </c>
      <c r="D12">
        <v>1</v>
      </c>
      <c r="E12">
        <v>14</v>
      </c>
      <c r="F12">
        <v>60</v>
      </c>
      <c r="G12">
        <v>1</v>
      </c>
      <c r="H12" t="s">
        <v>111</v>
      </c>
      <c r="I12" t="s">
        <v>125</v>
      </c>
      <c r="J12" t="s">
        <v>12</v>
      </c>
      <c r="K12" t="s">
        <v>42</v>
      </c>
    </row>
    <row r="13" spans="1:11">
      <c r="A13" t="s">
        <v>97</v>
      </c>
      <c r="B13" t="s">
        <v>11</v>
      </c>
      <c r="C13" t="str" cm="1">
        <f t="array" aca="1" ref="C13" ca="1">IF(OR(H13="Beregnet_DtKode"),"Beregnet",IF(K13&lt;&gt;"Inaktiv",IF(INDIRECT("'Batch'!"&amp;A13&amp;"3")=B13,"OK","Fejl i kolonne navn"),"Inaktiv"))</f>
        <v>OK</v>
      </c>
      <c r="D13">
        <v>1</v>
      </c>
      <c r="E13">
        <v>16</v>
      </c>
      <c r="F13">
        <v>21</v>
      </c>
      <c r="G13">
        <v>6</v>
      </c>
      <c r="H13" t="s">
        <v>34</v>
      </c>
      <c r="K13" t="s">
        <v>42</v>
      </c>
    </row>
    <row r="14" spans="1:11">
      <c r="A14" t="s">
        <v>98</v>
      </c>
      <c r="B14" t="s">
        <v>63</v>
      </c>
      <c r="C14" t="str" cm="1">
        <f t="array" aca="1" ref="C14" ca="1">IF(OR(H14="Beregnet_DtKode"),"Beregnet",IF(K14&lt;&gt;"Inaktiv",IF(INDIRECT("'Batch'!"&amp;A14&amp;"3")=B14,"OK","Fejl i kolonne navn"),"Inaktiv"))</f>
        <v>OK</v>
      </c>
      <c r="D14">
        <v>1</v>
      </c>
      <c r="E14">
        <v>13</v>
      </c>
      <c r="F14">
        <v>60</v>
      </c>
      <c r="G14">
        <v>1</v>
      </c>
      <c r="H14" t="s">
        <v>29</v>
      </c>
      <c r="K14" t="s">
        <v>42</v>
      </c>
    </row>
    <row r="15" spans="1:11">
      <c r="A15" t="s">
        <v>99</v>
      </c>
      <c r="B15" t="s">
        <v>95</v>
      </c>
      <c r="C15" t="str" cm="1">
        <f t="array" aca="1" ref="C15" ca="1">IF(OR(H15="Beregnet_DtKode"),"Beregnet",IF(K15&lt;&gt;"Inaktiv",IF(INDIRECT("'Batch'!"&amp;A15&amp;"3")=B15,"OK","Fejl i kolonne navn"),"Inaktiv"))</f>
        <v>OK</v>
      </c>
      <c r="D15">
        <v>2</v>
      </c>
      <c r="E15">
        <v>8</v>
      </c>
      <c r="F15">
        <v>21</v>
      </c>
      <c r="G15">
        <v>10</v>
      </c>
      <c r="H15" t="s">
        <v>29</v>
      </c>
      <c r="K15" t="s">
        <v>42</v>
      </c>
    </row>
  </sheetData>
  <dataValidations disablePrompts="1" count="1">
    <dataValidation type="custom" allowBlank="1" showInputMessage="1" showErrorMessage="1" sqref="K2" xr:uid="{5C9D7A50-9AB3-42D6-A47D-E31A46C8ED33}">
      <formula1>"Ret;Tjek;Inaktiv"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9BDF7-1D06-4D82-BFB0-3685696F8720}">
  <sheetPr codeName="Ark4"/>
  <dimension ref="A1:D17"/>
  <sheetViews>
    <sheetView workbookViewId="0">
      <selection activeCell="A2" sqref="A2"/>
    </sheetView>
  </sheetViews>
  <sheetFormatPr defaultRowHeight="14.5"/>
  <cols>
    <col min="1" max="1" width="46.6328125" bestFit="1" customWidth="1"/>
    <col min="2" max="2" width="35.1796875" customWidth="1"/>
    <col min="3" max="3" width="84.36328125" customWidth="1"/>
    <col min="4" max="4" width="14.36328125" customWidth="1"/>
  </cols>
  <sheetData>
    <row r="1" spans="1:4">
      <c r="A1" s="1" t="s">
        <v>37</v>
      </c>
      <c r="B1" s="1" t="s">
        <v>39</v>
      </c>
      <c r="C1" s="1" t="s">
        <v>43</v>
      </c>
      <c r="D1" s="1" t="s">
        <v>118</v>
      </c>
    </row>
    <row r="2" spans="1:4">
      <c r="A2" t="s">
        <v>35</v>
      </c>
      <c r="B2" s="3" t="s">
        <v>69</v>
      </c>
      <c r="C2" t="s">
        <v>61</v>
      </c>
    </row>
    <row r="3" spans="1:4">
      <c r="A3" t="s">
        <v>36</v>
      </c>
      <c r="B3" s="3" t="s">
        <v>70</v>
      </c>
      <c r="C3" t="s">
        <v>62</v>
      </c>
    </row>
    <row r="4" spans="1:4">
      <c r="A4" t="s">
        <v>59</v>
      </c>
      <c r="B4" t="s">
        <v>87</v>
      </c>
      <c r="C4" t="s">
        <v>60</v>
      </c>
      <c r="D4" s="18"/>
    </row>
    <row r="5" spans="1:4" ht="66.5" customHeight="1">
      <c r="A5" t="s">
        <v>44</v>
      </c>
      <c r="B5" t="s">
        <v>103</v>
      </c>
      <c r="C5" s="13" t="s">
        <v>104</v>
      </c>
    </row>
    <row r="6" spans="1:4">
      <c r="A6" t="s">
        <v>45</v>
      </c>
      <c r="C6" s="14" t="s">
        <v>47</v>
      </c>
    </row>
    <row r="7" spans="1:4" ht="36" customHeight="1">
      <c r="A7" t="s">
        <v>46</v>
      </c>
      <c r="B7" t="s">
        <v>67</v>
      </c>
      <c r="C7" s="13" t="s">
        <v>68</v>
      </c>
    </row>
    <row r="8" spans="1:4" ht="28" customHeight="1">
      <c r="A8" t="s">
        <v>89</v>
      </c>
      <c r="B8" t="s">
        <v>120</v>
      </c>
      <c r="C8" s="13" t="s">
        <v>121</v>
      </c>
    </row>
    <row r="9" spans="1:4">
      <c r="A9" t="s">
        <v>90</v>
      </c>
      <c r="C9" s="14" t="s">
        <v>91</v>
      </c>
    </row>
    <row r="10" spans="1:4">
      <c r="A10" t="s">
        <v>64</v>
      </c>
      <c r="B10" t="s">
        <v>65</v>
      </c>
      <c r="C10" t="s">
        <v>66</v>
      </c>
      <c r="D10" t="s">
        <v>119</v>
      </c>
    </row>
    <row r="11" spans="1:4">
      <c r="A11" t="s">
        <v>71</v>
      </c>
      <c r="B11" s="3" t="s">
        <v>76</v>
      </c>
      <c r="C11" t="s">
        <v>72</v>
      </c>
    </row>
    <row r="12" spans="1:4">
      <c r="A12" t="s">
        <v>82</v>
      </c>
      <c r="B12" s="3" t="s">
        <v>75</v>
      </c>
      <c r="C12" t="s">
        <v>73</v>
      </c>
    </row>
    <row r="13" spans="1:4">
      <c r="A13" t="s">
        <v>83</v>
      </c>
      <c r="B13" s="3" t="s">
        <v>74</v>
      </c>
      <c r="C13" t="s">
        <v>77</v>
      </c>
      <c r="D13" t="s">
        <v>119</v>
      </c>
    </row>
    <row r="14" spans="1:4">
      <c r="A14" t="s">
        <v>84</v>
      </c>
      <c r="B14" s="3" t="s">
        <v>79</v>
      </c>
      <c r="C14" t="s">
        <v>78</v>
      </c>
    </row>
    <row r="15" spans="1:4">
      <c r="A15" t="s">
        <v>80</v>
      </c>
      <c r="B15" s="3" t="s">
        <v>117</v>
      </c>
      <c r="C15" t="s">
        <v>73</v>
      </c>
      <c r="D15" t="s">
        <v>119</v>
      </c>
    </row>
    <row r="16" spans="1:4">
      <c r="A16" t="s">
        <v>85</v>
      </c>
      <c r="B16" s="3">
        <v>0</v>
      </c>
      <c r="C16" t="s">
        <v>81</v>
      </c>
    </row>
    <row r="17" spans="1:3">
      <c r="A17" s="15" t="s">
        <v>86</v>
      </c>
      <c r="B17" s="3" t="s">
        <v>87</v>
      </c>
      <c r="C17" t="s">
        <v>88</v>
      </c>
    </row>
  </sheetData>
  <sortState xmlns:xlrd2="http://schemas.microsoft.com/office/spreadsheetml/2017/richdata2" ref="A12:A19">
    <sortCondition ref="A12:A19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B6902-87C3-4DE7-8B92-B123272CCBBD}">
  <sheetPr codeName="Ark5"/>
  <dimension ref="A1:S16"/>
  <sheetViews>
    <sheetView workbookViewId="0">
      <selection activeCell="A2" sqref="A2"/>
    </sheetView>
  </sheetViews>
  <sheetFormatPr defaultRowHeight="14.5"/>
  <cols>
    <col min="1" max="1" width="24.36328125" customWidth="1"/>
    <col min="2" max="2" width="10.90625" bestFit="1" customWidth="1"/>
    <col min="3" max="3" width="5.81640625" bestFit="1" customWidth="1"/>
    <col min="4" max="4" width="10.08984375" bestFit="1" customWidth="1"/>
    <col min="5" max="5" width="15.453125" bestFit="1" customWidth="1"/>
    <col min="6" max="6" width="12.26953125" bestFit="1" customWidth="1"/>
    <col min="7" max="7" width="8" customWidth="1"/>
    <col min="8" max="8" width="4.26953125" bestFit="1" customWidth="1"/>
    <col min="9" max="10" width="2.81640625" bestFit="1" customWidth="1"/>
    <col min="11" max="11" width="7.26953125" bestFit="1" customWidth="1"/>
    <col min="12" max="12" width="19.453125" bestFit="1" customWidth="1"/>
    <col min="13" max="13" width="17.453125" style="3" bestFit="1" customWidth="1"/>
    <col min="14" max="14" width="18.81640625" style="3" bestFit="1" customWidth="1"/>
    <col min="15" max="15" width="17.453125" style="3" bestFit="1" customWidth="1"/>
    <col min="16" max="16" width="9.453125" bestFit="1" customWidth="1"/>
    <col min="17" max="17" width="51.7265625" bestFit="1" customWidth="1"/>
    <col min="18" max="18" width="8" bestFit="1" customWidth="1"/>
    <col min="19" max="19" width="10.54296875" bestFit="1" customWidth="1"/>
  </cols>
  <sheetData>
    <row r="1" spans="1:19" s="1" customFormat="1">
      <c r="A1" s="1" t="s">
        <v>2</v>
      </c>
      <c r="B1" s="1" t="s">
        <v>48</v>
      </c>
      <c r="C1" s="1" t="s">
        <v>0</v>
      </c>
      <c r="D1" s="1" t="s">
        <v>49</v>
      </c>
      <c r="E1" s="1" t="s">
        <v>40</v>
      </c>
      <c r="F1" s="1" t="s">
        <v>50</v>
      </c>
      <c r="G1" s="1" t="s">
        <v>51</v>
      </c>
      <c r="H1" s="1" t="s">
        <v>26</v>
      </c>
      <c r="I1" s="1" t="s">
        <v>112</v>
      </c>
      <c r="J1" s="1" t="s">
        <v>15</v>
      </c>
      <c r="K1" s="1" t="s">
        <v>27</v>
      </c>
      <c r="L1" s="1" t="s">
        <v>41</v>
      </c>
      <c r="M1" s="17" t="s">
        <v>52</v>
      </c>
      <c r="N1" s="17" t="s">
        <v>53</v>
      </c>
      <c r="O1" s="17" t="s">
        <v>54</v>
      </c>
      <c r="P1" s="1" t="s">
        <v>55</v>
      </c>
      <c r="Q1" s="1" t="s">
        <v>56</v>
      </c>
      <c r="R1" s="1" t="s">
        <v>57</v>
      </c>
      <c r="S1" s="1" t="s">
        <v>58</v>
      </c>
    </row>
    <row r="2" spans="1:19">
      <c r="A2" s="24"/>
      <c r="D2" s="25"/>
    </row>
    <row r="3" spans="1:19">
      <c r="A3" s="24"/>
      <c r="D3" s="25"/>
    </row>
    <row r="4" spans="1:19">
      <c r="A4" s="24"/>
      <c r="D4" s="25"/>
    </row>
    <row r="5" spans="1:19">
      <c r="A5" s="24"/>
      <c r="D5" s="25"/>
    </row>
    <row r="6" spans="1:19">
      <c r="A6" s="24"/>
      <c r="D6" s="25"/>
    </row>
    <row r="7" spans="1:19">
      <c r="A7" s="24"/>
      <c r="D7" s="25"/>
    </row>
    <row r="8" spans="1:19">
      <c r="A8" s="24"/>
      <c r="D8" s="25"/>
    </row>
    <row r="9" spans="1:19">
      <c r="A9" s="24"/>
      <c r="D9" s="25"/>
    </row>
    <row r="10" spans="1:19">
      <c r="A10" s="24"/>
      <c r="D10" s="25"/>
    </row>
    <row r="11" spans="1:19">
      <c r="A11" s="24"/>
      <c r="D11" s="25"/>
    </row>
    <row r="12" spans="1:19">
      <c r="A12" s="24"/>
      <c r="D12" s="25"/>
    </row>
    <row r="13" spans="1:19">
      <c r="A13" s="24"/>
      <c r="D13" s="25"/>
    </row>
    <row r="14" spans="1:19">
      <c r="A14" s="24"/>
      <c r="D14" s="25"/>
    </row>
    <row r="15" spans="1:19">
      <c r="A15" s="24"/>
      <c r="D15" s="25"/>
    </row>
    <row r="16" spans="1:19">
      <c r="A16" s="24"/>
      <c r="D16" s="25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4</vt:i4>
      </vt:variant>
    </vt:vector>
  </HeadingPairs>
  <TitlesOfParts>
    <vt:vector size="4" baseType="lpstr">
      <vt:lpstr>Batch</vt:lpstr>
      <vt:lpstr>Felter</vt:lpstr>
      <vt:lpstr>Parameter</vt:lpstr>
      <vt:lpstr>Lønsystem Log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Opret-Ret 101x</dc:title>
  <dc:subject>Silkeborg LÃ¸n script</dc:subject>
  <dc:creator/>
  <cp:keywords>Silkeborg LÃ¸n; Excel; VBA</cp:keywords>
  <dc:description>Publiceret version 1.0.0</dc:description>
  <cp:lastModifiedBy>Andreas Bjørn Jørgensen</cp:lastModifiedBy>
  <dcterms:created xsi:type="dcterms:W3CDTF">2026-07-07T11:38:53Z</dcterms:created>
  <dcterms:modified xsi:type="dcterms:W3CDTF">2026-07-20T11:22:22Z</dcterms:modified>
  <cp:category>Excel makro</cp:category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criptId">
    <vt:lpwstr>opret-ret-101x</vt:lpwstr>
  </property>
  <property fmtid="{D5CDD505-2E9C-101B-9397-08002B2CF9AE}" pid="3" name="ScriptName">
    <vt:lpwstr>Opret-Ret 101x</vt:lpwstr>
  </property>
  <property fmtid="{D5CDD505-2E9C-101B-9397-08002B2CF9AE}" pid="4" name="ScriptVersion">
    <vt:lpwstr>1.0.0</vt:lpwstr>
  </property>
</Properties>
</file>